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69CC6094-E948-492A-99E2-BC3D18F097DE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76" l="1"/>
  <c r="C133" i="76"/>
  <c r="B5" i="92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7" a="1"/>
  <c r="A1" i="76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<sst xmlns="http://schemas.openxmlformats.org/spreadsheetml/2006/main" count="116" uniqueCount="64">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</sst>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  <xf numFmtId="1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J130" sqref="J130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25">
        <f>B133/B129*100-100</f>
        <v>5.3907620363463593</v>
      </c>
      <c r="D133" s="1">
        <v>10.61</v>
      </c>
    </row>
    <row r="134" spans="1:4" x14ac:dyDescent="0.35">
      <c r="A134" s="33">
        <f t="shared" si="2"/>
        <v>46082</v>
      </c>
      <c r="B134" s="1">
        <v>3447682.8</v>
      </c>
      <c r="C134" s="25">
        <f>B134/B130*100-100</f>
        <v>5.6102683210162496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B403" sqref="B403:L405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66498</v>
      </c>
      <c r="E398" s="9">
        <v>5306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81247</v>
      </c>
      <c r="E399" s="9">
        <v>4827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C400" s="9">
        <v>10355100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9">
        <v>16999</v>
      </c>
      <c r="L400" s="9">
        <v>4.75</v>
      </c>
    </row>
    <row r="401" spans="1:12" x14ac:dyDescent="0.35">
      <c r="A401" s="33">
        <f t="shared" si="6"/>
        <v>46113</v>
      </c>
      <c r="B401" s="9">
        <v>51.6</v>
      </c>
      <c r="C401" s="9">
        <v>10253700</v>
      </c>
      <c r="D401" s="9">
        <v>80779</v>
      </c>
      <c r="E401" s="35">
        <v>5315.52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9">
        <v>17378</v>
      </c>
      <c r="L401" s="9">
        <v>4.75</v>
      </c>
    </row>
    <row r="402" spans="1:12" x14ac:dyDescent="0.35">
      <c r="A402" s="33">
        <f t="shared" si="6"/>
        <v>46143</v>
      </c>
      <c r="B402" s="9">
        <v>51.6</v>
      </c>
      <c r="C402" s="9">
        <v>10415900</v>
      </c>
      <c r="D402" s="9">
        <v>69219</v>
      </c>
      <c r="F402" s="9">
        <v>23203.5</v>
      </c>
      <c r="G402" s="9">
        <v>2228.8000000000002</v>
      </c>
      <c r="H402" s="9">
        <v>5003.8</v>
      </c>
      <c r="I402" s="9">
        <v>17581.099999999999</v>
      </c>
      <c r="J402" s="9">
        <v>3.08</v>
      </c>
      <c r="K402" s="9">
        <v>17883</v>
      </c>
      <c r="L402" s="9">
        <v>5.25</v>
      </c>
    </row>
    <row r="403" spans="1:12" x14ac:dyDescent="0.35">
      <c r="A403" s="33">
        <f t="shared" si="6"/>
        <v>46174</v>
      </c>
      <c r="B403" s="9">
        <v>51.4</v>
      </c>
      <c r="C403" s="9">
        <v>10432800</v>
      </c>
      <c r="D403" s="9">
        <v>77603</v>
      </c>
      <c r="F403" s="9">
        <v>25458.7</v>
      </c>
      <c r="G403" s="9">
        <v>2113.9</v>
      </c>
      <c r="H403" s="9">
        <v>5245.3</v>
      </c>
      <c r="I403" s="9">
        <v>18550</v>
      </c>
      <c r="J403" s="9">
        <v>3.34</v>
      </c>
      <c r="K403" s="9">
        <v>17899</v>
      </c>
      <c r="L403" s="9">
        <v>5.75</v>
      </c>
    </row>
    <row r="404" spans="1:12" x14ac:dyDescent="0.35">
      <c r="A404" s="33">
        <f t="shared" si="6"/>
        <v>46204</v>
      </c>
      <c r="B404" s="9">
        <v>51</v>
      </c>
      <c r="C404" s="9">
        <v>10371100</v>
      </c>
      <c r="D404" s="9">
        <v>81115</v>
      </c>
      <c r="J404" s="9">
        <v>2.88</v>
      </c>
      <c r="K404" s="9">
        <v>17997</v>
      </c>
      <c r="L404" s="9">
        <v>5.75</v>
      </c>
    </row>
    <row r="405" spans="1:12" x14ac:dyDescent="0.35">
      <c r="A405" s="33">
        <f t="shared" si="6"/>
        <v>46235</v>
      </c>
      <c r="L405" s="9">
        <v>5.75</v>
      </c>
    </row>
    <row r="406" spans="1:12" x14ac:dyDescent="0.35">
      <c r="A406" s="33">
        <f t="shared" si="6"/>
        <v>46266</v>
      </c>
    </row>
    <row r="407" spans="1:12" x14ac:dyDescent="0.35">
      <c r="A407" s="33">
        <f t="shared" si="6"/>
        <v>46296</v>
      </c>
    </row>
    <row r="408" spans="1:12" x14ac:dyDescent="0.35">
      <c r="A408" s="33">
        <f t="shared" si="6"/>
        <v>46327</v>
      </c>
    </row>
    <row r="409" spans="1:12" x14ac:dyDescent="0.35">
      <c r="A409" s="33">
        <f t="shared" si="6"/>
        <v>46357</v>
      </c>
    </row>
  </sheetData>
  <conditionalFormatting sqref="N350:N367">
    <cfRule type="cellIs" dxfId="96" priority="422" operator="lessThan">
      <formula>0</formula>
    </cfRule>
    <cfRule type="cellIs" dxfId="95" priority="423" operator="greaterThanOrEqual">
      <formula>0</formula>
    </cfRule>
    <cfRule type="cellIs" dxfId="94" priority="425" stopIfTrue="1" operator="lessThan">
      <formula>0</formula>
    </cfRule>
    <cfRule type="cellIs" dxfId="93" priority="426" stopIfTrue="1" operator="greaterThanOrEqual">
      <formula>0</formula>
    </cfRule>
  </conditionalFormatting>
  <conditionalFormatting sqref="N368:N378">
    <cfRule type="cellIs" dxfId="92" priority="42" operator="lessThan">
      <formula>0</formula>
    </cfRule>
    <cfRule type="cellIs" dxfId="91" priority="43" operator="greaterThanOrEqual">
      <formula>0</formula>
    </cfRule>
    <cfRule type="cellIs" dxfId="90" priority="45" stopIfTrue="1" operator="lessThan">
      <formula>0</formula>
    </cfRule>
    <cfRule type="cellIs" dxfId="89" priority="46" stopIfTrue="1" operator="greaterThanOrEqual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367" operator="lessThan">
      <formula>0</formula>
    </cfRule>
    <cfRule type="cellIs" dxfId="86" priority="368" operator="greaterThanOrEqual">
      <formula>0</formula>
    </cfRule>
    <cfRule type="cellIs" dxfId="85" priority="420" stopIfTrue="1" operator="lessThan">
      <formula>0</formula>
    </cfRule>
    <cfRule type="cellIs" dxfId="84" priority="421" stopIfTrue="1" operator="greaterThanOrEqual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362" operator="lessThan">
      <formula>0</formula>
    </cfRule>
    <cfRule type="cellIs" dxfId="77" priority="363" operator="greaterThanOrEqual">
      <formula>0</formula>
    </cfRule>
    <cfRule type="cellIs" dxfId="76" priority="475" stopIfTrue="1" operator="lessThan">
      <formula>0</formula>
    </cfRule>
    <cfRule type="cellIs" dxfId="75" priority="476" stopIfTrue="1" operator="greaterThanOrEqual">
      <formula>0</formula>
    </cfRule>
  </conditionalFormatting>
  <conditionalFormatting sqref="AE348:AE370">
    <cfRule type="cellIs" dxfId="74" priority="190" stopIfTrue="1" operator="lessThan">
      <formula>0</formula>
    </cfRule>
    <cfRule type="cellIs" dxfId="73" priority="191" stopIfTrue="1" operator="greaterThanOrEqual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4" stopIfTrue="1" operator="lessThan">
      <formula>0</formula>
    </cfRule>
    <cfRule type="cellIs" dxfId="68" priority="25" stopIfTrue="1" operator="greaterThanOrEqual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2" operator="lessThan">
      <formula>0</formula>
    </cfRule>
    <cfRule type="cellIs" dxfId="65" priority="63" operator="greaterThanOrEqual">
      <formula>0</formula>
    </cfRule>
    <cfRule type="cellIs" dxfId="64" priority="65" stopIfTrue="1" operator="lessThan">
      <formula>0</formula>
    </cfRule>
    <cfRule type="cellIs" dxfId="63" priority="66" stopIfTrue="1" operator="greaterThanOrEqual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27" operator="lessThan">
      <formula>0</formula>
    </cfRule>
    <cfRule type="cellIs" dxfId="60" priority="328" operator="greaterThanOrEqual">
      <formula>0</formula>
    </cfRule>
    <cfRule type="cellIs" dxfId="59" priority="330" stopIfTrue="1" operator="lessThan">
      <formula>0</formula>
    </cfRule>
    <cfRule type="cellIs" dxfId="58" priority="331" stopIfTrue="1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26" operator="lessThan">
      <formula>0</formula>
    </cfRule>
    <cfRule type="cellIs" dxfId="47" priority="27" operator="greaterThanOrEqual">
      <formula>0</formula>
    </cfRule>
    <cfRule type="cellIs" dxfId="46" priority="30" stopIfTrue="1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1" operator="lessThan">
      <formula>0</formula>
    </cfRule>
    <cfRule type="cellIs" dxfId="37" priority="12" operator="greaterThanOrEqual">
      <formula>0</formula>
    </cfRule>
    <cfRule type="cellIs" dxfId="36" priority="14" stopIfTrue="1" operator="lessThan">
      <formula>0</formula>
    </cfRule>
    <cfRule type="cellIs" dxfId="35" priority="15" stopIfTrue="1" operator="greaterThanOrEqual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0" stopIfTrue="1" operator="lessThan">
      <formula>0</formula>
    </cfRule>
    <cfRule type="cellIs" dxfId="30" priority="61" stopIfTrue="1" operator="greaterThanOrEqual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37" operator="lessThan">
      <formula>0</formula>
    </cfRule>
    <cfRule type="cellIs" dxfId="27" priority="338" operator="greaterThanOrEqual">
      <formula>0</formula>
    </cfRule>
    <cfRule type="cellIs" dxfId="26" priority="340" stopIfTrue="1" operator="lessThan">
      <formula>0</formula>
    </cfRule>
    <cfRule type="cellIs" dxfId="25" priority="341" stopIfTrue="1" operator="greaterThanOrEqual">
      <formula>0</formula>
    </cfRule>
  </conditionalFormatting>
  <conditionalFormatting sqref="AT366:AU377">
    <cfRule type="cellIs" dxfId="24" priority="32" operator="lessThan">
      <formula>0</formula>
    </cfRule>
    <cfRule type="cellIs" dxfId="23" priority="33" operator="greaterThanOrEqual">
      <formula>0</formula>
    </cfRule>
    <cfRule type="cellIs" dxfId="22" priority="35" stopIfTrue="1" operator="lessThan">
      <formula>0</formula>
    </cfRule>
    <cfRule type="cellIs" dxfId="21" priority="36" stopIfTrue="1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6" operator="lessThan">
      <formula>0</formula>
    </cfRule>
    <cfRule type="cellIs" dxfId="16" priority="7" operator="greaterThanOrEqual">
      <formula>0</formula>
    </cfRule>
    <cfRule type="cellIs" dxfId="15" priority="9" stopIfTrue="1" operator="lessThan">
      <formula>0</formula>
    </cfRule>
    <cfRule type="cellIs" dxfId="14" priority="10" stopIfTrue="1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3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2026-08-31T02:39:43Z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